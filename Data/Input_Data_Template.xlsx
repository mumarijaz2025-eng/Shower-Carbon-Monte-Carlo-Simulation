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+data" sheetId="1" r:id="rId4"/>
    <sheet state="visible" name="example_data" sheetId="2" r:id="rId5"/>
  </sheets>
  <definedNames/>
  <calcPr/>
</workbook>
</file>

<file path=xl/sharedStrings.xml><?xml version="1.0" encoding="utf-8"?>
<sst xmlns="http://schemas.openxmlformats.org/spreadsheetml/2006/main" count="167" uniqueCount="92">
  <si>
    <t>Uncertainty in LCA via Monte Carlo</t>
  </si>
  <si>
    <t>Task</t>
  </si>
  <si>
    <t>You are going to calculate a range of carbon values for taking a shower.</t>
  </si>
  <si>
    <t xml:space="preserve">You can think of a shower as a thing of comfort, or a way to get clean, or a way to apply cosmetic products like shampoo and conditioner. </t>
  </si>
  <si>
    <t>In our company, a shower represents a carbon emission source.</t>
  </si>
  <si>
    <t xml:space="preserve">Called a "Use Phase," whereby the emissions derived from the use of a product are enumerated. </t>
  </si>
  <si>
    <t xml:space="preserve">Use phase emissions are hard to count, because there are so many variables to account for. </t>
  </si>
  <si>
    <r>
      <rPr>
        <rFont val="Arial"/>
        <color theme="1"/>
      </rPr>
      <t xml:space="preserve">One way to deal with many variables in carbon accounting is to do a </t>
    </r>
    <r>
      <rPr>
        <rFont val="Arial"/>
        <b/>
        <color theme="1"/>
        <u/>
      </rPr>
      <t xml:space="preserve">Monte Carlo </t>
    </r>
    <r>
      <rPr>
        <rFont val="Arial"/>
        <color theme="1"/>
      </rPr>
      <t xml:space="preserve">analysis. </t>
    </r>
  </si>
  <si>
    <t>In a monte carlo analysis, you will assign probability distributions to key variables in an objective function or outcome function.</t>
  </si>
  <si>
    <t>The equation for carbon from a shower is:</t>
  </si>
  <si>
    <t xml:space="preserve">"= ((Shower length * Flow Rate) * (EF for Water + (Heat Energy Per Liter * Emission Factor for Heat Energy)) </t>
  </si>
  <si>
    <t>Most of these variables are self explanatory.</t>
  </si>
  <si>
    <t>Your task is to do the following:</t>
  </si>
  <si>
    <t>1. Model the carbon emissions from a shower using the paramaters I provided. Make 1000 simulations.</t>
  </si>
  <si>
    <t>2. Report on the lowest, highest and median shower in terms of carbon impact, as well as percentiles (Interquartile range)</t>
  </si>
  <si>
    <t xml:space="preserve">3. Deliver a short report, with graphics, analysis, the data and code used. </t>
  </si>
  <si>
    <t>You can email me at evan.peters@fairglow.fr with some questions.</t>
  </si>
  <si>
    <t>Use python and online resources about montecarlo to structure your analysis.</t>
  </si>
  <si>
    <t>Assumptions</t>
  </si>
  <si>
    <t>Data</t>
  </si>
  <si>
    <t>Notes</t>
  </si>
  <si>
    <t>Shower length</t>
  </si>
  <si>
    <t>10minutes</t>
  </si>
  <si>
    <t>Lognormal (mean = 10, sigma = 3)</t>
  </si>
  <si>
    <t>Flow rate</t>
  </si>
  <si>
    <t>2.5 gallons/minute</t>
  </si>
  <si>
    <t>Fixed</t>
  </si>
  <si>
    <t>Heat Energy Per Liter</t>
  </si>
  <si>
    <t>Fixed - unit = MJ</t>
  </si>
  <si>
    <t>Heat Energy Emission Factor</t>
  </si>
  <si>
    <t>-</t>
  </si>
  <si>
    <t>Multinomial distribution provided by the proportions in table below.</t>
  </si>
  <si>
    <t xml:space="preserve"> </t>
  </si>
  <si>
    <t>Table - Multinomial Distribution for Heat</t>
  </si>
  <si>
    <t>Energy Source for a shower</t>
  </si>
  <si>
    <t>Name</t>
  </si>
  <si>
    <t>ecoinvent-v3.5 Dataset</t>
  </si>
  <si>
    <t>Amount (MJ)</t>
  </si>
  <si>
    <t>Unit</t>
  </si>
  <si>
    <t>Comment</t>
  </si>
  <si>
    <t>Proportion</t>
  </si>
  <si>
    <t>CO2</t>
  </si>
  <si>
    <t>GEO</t>
  </si>
  <si>
    <t>Heat, for warm water heating, Zurich, Switzerland</t>
  </si>
  <si>
    <t>MJ</t>
  </si>
  <si>
    <t>Input, energy</t>
  </si>
  <si>
    <t>Heat, central or small-scale, natural gas {CH}</t>
  </si>
  <si>
    <t>Heat production, natural gas, at boiler condensing modulating &lt;100kW</t>
  </si>
  <si>
    <t>Share of gas heating</t>
  </si>
  <si>
    <t>Europe without Switzerland (Europe without Switzerland)</t>
  </si>
  <si>
    <t>Heat, central or small-scale, other than natural gas {CH}</t>
  </si>
  <si>
    <t>Heat production, light fuel oil, at boiler 10kW, non-modulating</t>
  </si>
  <si>
    <t>Share of oil heating</t>
  </si>
  <si>
    <t>Heat, district or industrial, other than natural gas {CH}</t>
  </si>
  <si>
    <t>Heat from municipal waste incineration to generic market for heat district or industrial, other than natural gas</t>
  </si>
  <si>
    <t>Share of district heating</t>
  </si>
  <si>
    <t>Switzerland (CH)</t>
  </si>
  <si>
    <t>Heat, borehole heat pump {CH}</t>
  </si>
  <si>
    <t>Heat production, borehole heat exchanger, brine-water heat pump 10kW</t>
  </si>
  <si>
    <t>Share from heat pumps</t>
  </si>
  <si>
    <t>Heat production, softwood chips from forest, at furnace 50kW</t>
  </si>
  <si>
    <t>Share from wood heating</t>
  </si>
  <si>
    <t>Operation, solar collector system, Cu flat plate collector, multiple dwelling, for hot water</t>
  </si>
  <si>
    <t>Share from solar thermal</t>
  </si>
  <si>
    <t>Electricity, low voltage, Zurich, Switzerland</t>
  </si>
  <si>
    <t>Share from electricity</t>
  </si>
  <si>
    <t>Table- Emission Factor - Water</t>
  </si>
  <si>
    <t>tap water production, underground water with disinfection</t>
  </si>
  <si>
    <t>kg</t>
  </si>
  <si>
    <t>tap water production, underground water with chemical treatment</t>
  </si>
  <si>
    <t>tap water production, underground water without treatment</t>
  </si>
  <si>
    <t>tap water production, conventional treatment</t>
  </si>
  <si>
    <t>tap water production, microstrainer treatment</t>
  </si>
  <si>
    <t>Rest-of-World (RoW)</t>
  </si>
  <si>
    <t>tap water production, conventional with biological treatment</t>
  </si>
  <si>
    <t>tap water production, seawater reverse osmosis, conventional pretreatment, baseline module, single stage</t>
  </si>
  <si>
    <t>Global (GLO)</t>
  </si>
  <si>
    <t>Example of data you will put in your simulation</t>
  </si>
  <si>
    <t>This value is derived from simulation.</t>
  </si>
  <si>
    <t>this value is calculated</t>
  </si>
  <si>
    <t>(minutes)</t>
  </si>
  <si>
    <t>(liters)</t>
  </si>
  <si>
    <r>
      <rPr>
        <rFont val="Arial"/>
        <color theme="1"/>
      </rPr>
      <t>(</t>
    </r>
    <r>
      <rPr>
        <rFont val="Arial"/>
        <i/>
        <color theme="1"/>
      </rPr>
      <t>MJ)</t>
    </r>
  </si>
  <si>
    <t>(kg)</t>
  </si>
  <si>
    <t>simulation_number</t>
  </si>
  <si>
    <t>shower_length</t>
  </si>
  <si>
    <t>total_water</t>
  </si>
  <si>
    <t>water_type</t>
  </si>
  <si>
    <t>heat_type</t>
  </si>
  <si>
    <t>total_heat</t>
  </si>
  <si>
    <t>total_CO2eq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</si>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</sst>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u/>
      <color rgb="FF0000FF"/>
    </font>
    <font>
      <u/>
      <color rgb="FF0000FF"/>
    </font>
    <font>
      <color rgb="FF000000"/>
    </font>
    <font>
      <i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shrinkToFit="0" wrapText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2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2" numFmtId="10" xfId="0" applyFont="1" applyNumberFormat="1"/>
    <xf borderId="0" fillId="0" fontId="2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shrinkToFit="0" wrapText="0"/>
    </xf>
    <xf borderId="0" fillId="3" fontId="3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coquery.ecoinvent.org/3.10/cutoff/dataset/11775/documentation" TargetMode="External"/><Relationship Id="rId10" Type="http://schemas.openxmlformats.org/officeDocument/2006/relationships/hyperlink" Target="https://ecoquery.ecoinvent.org/3.10/cutoff/dataset/11300/documentation" TargetMode="External"/><Relationship Id="rId13" Type="http://schemas.openxmlformats.org/officeDocument/2006/relationships/hyperlink" Target="https://ecoquery.ecoinvent.org/3.10/cutoff/dataset/11700/documentation" TargetMode="External"/><Relationship Id="rId12" Type="http://schemas.openxmlformats.org/officeDocument/2006/relationships/hyperlink" Target="https://ecoquery.ecoinvent.org/3.10/cutoff/dataset/10727/documentation" TargetMode="External"/><Relationship Id="rId1" Type="http://schemas.openxmlformats.org/officeDocument/2006/relationships/hyperlink" Target="https://ecoquery.ecoinvent.org/3.10/cutoff/dataset/5966/impact_assessment" TargetMode="External"/><Relationship Id="rId2" Type="http://schemas.openxmlformats.org/officeDocument/2006/relationships/hyperlink" Target="https://ecoquery.ecoinvent.org/3.10/cutoff/dataset/5496/documentation" TargetMode="External"/><Relationship Id="rId3" Type="http://schemas.openxmlformats.org/officeDocument/2006/relationships/hyperlink" Target="https://ecoquery.ecoinvent.org/3.10/cutoff/dataset/10679/documentation" TargetMode="External"/><Relationship Id="rId4" Type="http://schemas.openxmlformats.org/officeDocument/2006/relationships/hyperlink" Target="https://ecoquery.ecoinvent.org/3.10/cutoff/dataset/5675/documentation" TargetMode="External"/><Relationship Id="rId9" Type="http://schemas.openxmlformats.org/officeDocument/2006/relationships/hyperlink" Target="https://ecoquery.ecoinvent.org/3.10/cutoff/dataset/11864/documentatio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ecoquery.ecoinvent.org/3.10/cutoff/dataset/11955/documentation" TargetMode="External"/><Relationship Id="rId5" Type="http://schemas.openxmlformats.org/officeDocument/2006/relationships/hyperlink" Target="https://ecoquery.ecoinvent.org/3.10/cutoff/dataset/6492/documentation" TargetMode="External"/><Relationship Id="rId6" Type="http://schemas.openxmlformats.org/officeDocument/2006/relationships/hyperlink" Target="https://ecoquery.ecoinvent.org/3.10/cutoff/dataset/2543/documentation" TargetMode="External"/><Relationship Id="rId7" Type="http://schemas.openxmlformats.org/officeDocument/2006/relationships/hyperlink" Target="https://ecoquery.ecoinvent.org/3.10/cutoff/dataset/4732/documentation" TargetMode="External"/><Relationship Id="rId8" Type="http://schemas.openxmlformats.org/officeDocument/2006/relationships/hyperlink" Target="https://ecoquery.ecoinvent.org/3.10/cutoff/dataset/10732/documentati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25"/>
    <col customWidth="1" min="2" max="2" width="17.38"/>
    <col customWidth="1" min="3" max="3" width="21.25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 t="s">
        <v>2</v>
      </c>
      <c r="B3" s="2"/>
    </row>
    <row r="4">
      <c r="A4" s="4" t="s">
        <v>3</v>
      </c>
      <c r="B4" s="2"/>
    </row>
    <row r="5">
      <c r="A5" s="4" t="s">
        <v>4</v>
      </c>
      <c r="B5" s="2"/>
    </row>
    <row r="6">
      <c r="A6" s="4" t="s">
        <v>5</v>
      </c>
      <c r="B6" s="2"/>
    </row>
    <row r="7">
      <c r="B7" s="2"/>
    </row>
    <row r="8">
      <c r="A8" s="4" t="s">
        <v>6</v>
      </c>
      <c r="B8" s="2"/>
    </row>
    <row r="9">
      <c r="A9" s="4" t="s">
        <v>7</v>
      </c>
      <c r="B9" s="2"/>
    </row>
    <row r="10">
      <c r="A10" s="4" t="s">
        <v>8</v>
      </c>
      <c r="B10" s="2"/>
    </row>
    <row r="11">
      <c r="B11" s="2"/>
    </row>
    <row r="12">
      <c r="A12" s="4" t="s">
        <v>9</v>
      </c>
      <c r="B12" s="2"/>
    </row>
    <row r="13">
      <c r="A13" s="4" t="s">
        <v>10</v>
      </c>
      <c r="B13" s="2"/>
    </row>
    <row r="14">
      <c r="A14" s="4" t="s">
        <v>11</v>
      </c>
      <c r="B14" s="2"/>
    </row>
    <row r="15">
      <c r="B15" s="2"/>
    </row>
    <row r="16">
      <c r="A16" s="4" t="s">
        <v>12</v>
      </c>
      <c r="B16" s="2"/>
    </row>
    <row r="17">
      <c r="A17" s="4" t="s">
        <v>13</v>
      </c>
      <c r="B17" s="2"/>
    </row>
    <row r="18">
      <c r="A18" s="4" t="s">
        <v>14</v>
      </c>
      <c r="B18" s="2"/>
    </row>
    <row r="19">
      <c r="A19" s="4" t="s">
        <v>15</v>
      </c>
      <c r="B19" s="2"/>
    </row>
    <row r="20">
      <c r="B20" s="2"/>
    </row>
    <row r="21">
      <c r="A21" s="4" t="s">
        <v>16</v>
      </c>
      <c r="B21" s="2"/>
    </row>
    <row r="22">
      <c r="A22" s="4" t="s">
        <v>17</v>
      </c>
      <c r="B22" s="2"/>
    </row>
    <row r="23">
      <c r="B23" s="2"/>
    </row>
    <row r="24">
      <c r="A24" s="4"/>
      <c r="B24" s="5"/>
      <c r="C24" s="4"/>
    </row>
    <row r="25">
      <c r="A25" s="6" t="s">
        <v>18</v>
      </c>
      <c r="B25" s="6" t="s">
        <v>19</v>
      </c>
      <c r="C25" s="6" t="s">
        <v>20</v>
      </c>
    </row>
    <row r="26">
      <c r="A26" s="7" t="s">
        <v>21</v>
      </c>
      <c r="B26" s="8" t="s">
        <v>22</v>
      </c>
      <c r="C26" s="7" t="s">
        <v>23</v>
      </c>
    </row>
    <row r="27">
      <c r="A27" s="7" t="s">
        <v>24</v>
      </c>
      <c r="B27" s="8" t="s">
        <v>25</v>
      </c>
      <c r="C27" s="7" t="s">
        <v>26</v>
      </c>
    </row>
    <row r="28">
      <c r="A28" s="7" t="s">
        <v>27</v>
      </c>
      <c r="B28" s="8">
        <v>0.144</v>
      </c>
      <c r="C28" s="7" t="s">
        <v>28</v>
      </c>
    </row>
    <row r="29">
      <c r="A29" s="7" t="s">
        <v>29</v>
      </c>
      <c r="B29" s="7" t="s">
        <v>30</v>
      </c>
      <c r="C29" s="7" t="s">
        <v>31</v>
      </c>
    </row>
    <row r="30">
      <c r="E30" s="4" t="s">
        <v>32</v>
      </c>
    </row>
    <row r="31">
      <c r="A31" s="4"/>
      <c r="B31" s="2"/>
    </row>
    <row r="32">
      <c r="A32" s="4"/>
      <c r="B32" s="2"/>
    </row>
    <row r="33">
      <c r="A33" s="9" t="s">
        <v>33</v>
      </c>
      <c r="B33" s="2"/>
    </row>
    <row r="34">
      <c r="A34" s="10" t="s">
        <v>34</v>
      </c>
      <c r="B34" s="11"/>
      <c r="C34" s="12"/>
      <c r="D34" s="12"/>
      <c r="E34" s="12"/>
      <c r="F34" s="12"/>
      <c r="G34" s="12"/>
      <c r="H34" s="12"/>
    </row>
    <row r="35">
      <c r="A35" s="13" t="s">
        <v>35</v>
      </c>
      <c r="B35" s="14" t="s">
        <v>36</v>
      </c>
      <c r="C35" s="13" t="s">
        <v>37</v>
      </c>
      <c r="D35" s="13" t="s">
        <v>38</v>
      </c>
      <c r="E35" s="13" t="s">
        <v>39</v>
      </c>
      <c r="F35" s="15" t="s">
        <v>40</v>
      </c>
      <c r="G35" s="15" t="s">
        <v>41</v>
      </c>
      <c r="H35" s="15" t="s">
        <v>42</v>
      </c>
    </row>
    <row r="36">
      <c r="A36" s="4" t="s">
        <v>43</v>
      </c>
      <c r="B36" s="2"/>
      <c r="C36" s="4">
        <v>1.0</v>
      </c>
      <c r="D36" s="4" t="s">
        <v>44</v>
      </c>
      <c r="H36" s="2"/>
    </row>
    <row r="37">
      <c r="A37" s="4" t="s">
        <v>45</v>
      </c>
      <c r="B37" s="2"/>
      <c r="H37" s="2"/>
    </row>
    <row r="38">
      <c r="A38" s="4" t="s">
        <v>46</v>
      </c>
      <c r="B38" s="16" t="s">
        <v>47</v>
      </c>
      <c r="C38" s="4">
        <v>0.499</v>
      </c>
      <c r="D38" s="4" t="s">
        <v>44</v>
      </c>
      <c r="E38" s="4" t="s">
        <v>48</v>
      </c>
      <c r="F38" s="17">
        <f t="shared" ref="F38:F44" si="1">C38/SUM($C$38:$C$44)</f>
        <v>0.3855365835</v>
      </c>
      <c r="G38" s="4">
        <v>0.0740342955991673</v>
      </c>
      <c r="H38" s="5" t="s">
        <v>49</v>
      </c>
    </row>
    <row r="39">
      <c r="A39" s="4" t="s">
        <v>50</v>
      </c>
      <c r="B39" s="16" t="s">
        <v>51</v>
      </c>
      <c r="C39" s="4">
        <v>0.272</v>
      </c>
      <c r="D39" s="4" t="s">
        <v>44</v>
      </c>
      <c r="E39" s="4" t="s">
        <v>52</v>
      </c>
      <c r="F39" s="17">
        <f t="shared" si="1"/>
        <v>0.2101522058</v>
      </c>
      <c r="G39" s="4">
        <v>0.104351332558709</v>
      </c>
      <c r="H39" s="5" t="s">
        <v>49</v>
      </c>
    </row>
    <row r="40">
      <c r="A40" s="4" t="s">
        <v>53</v>
      </c>
      <c r="B40" s="16" t="s">
        <v>54</v>
      </c>
      <c r="C40" s="4">
        <v>0.158</v>
      </c>
      <c r="D40" s="4" t="s">
        <v>44</v>
      </c>
      <c r="E40" s="4" t="s">
        <v>55</v>
      </c>
      <c r="F40" s="17">
        <f t="shared" si="1"/>
        <v>0.1220737078</v>
      </c>
      <c r="G40" s="4">
        <v>2.59857240833919E-4</v>
      </c>
      <c r="H40" s="18" t="s">
        <v>56</v>
      </c>
    </row>
    <row r="41">
      <c r="A41" s="4" t="s">
        <v>57</v>
      </c>
      <c r="B41" s="16" t="s">
        <v>58</v>
      </c>
      <c r="C41" s="4">
        <v>0.0598</v>
      </c>
      <c r="D41" s="4" t="s">
        <v>44</v>
      </c>
      <c r="E41" s="4" t="s">
        <v>59</v>
      </c>
      <c r="F41" s="17">
        <f t="shared" si="1"/>
        <v>0.04620258055</v>
      </c>
      <c r="G41" s="4">
        <v>0.0293168163797332</v>
      </c>
      <c r="H41" s="5" t="s">
        <v>49</v>
      </c>
    </row>
    <row r="42">
      <c r="A42" s="4" t="s">
        <v>50</v>
      </c>
      <c r="B42" s="16" t="s">
        <v>60</v>
      </c>
      <c r="C42" s="4">
        <v>0.0095</v>
      </c>
      <c r="D42" s="4" t="s">
        <v>44</v>
      </c>
      <c r="E42" s="4" t="s">
        <v>61</v>
      </c>
      <c r="F42" s="17">
        <f t="shared" si="1"/>
        <v>0.007339874836</v>
      </c>
      <c r="G42" s="4">
        <v>0.00601753582460092</v>
      </c>
      <c r="H42" s="18" t="s">
        <v>56</v>
      </c>
    </row>
    <row r="43">
      <c r="A43" s="4" t="s">
        <v>50</v>
      </c>
      <c r="B43" s="16" t="s">
        <v>62</v>
      </c>
      <c r="C43" s="4">
        <v>0.048</v>
      </c>
      <c r="D43" s="4" t="s">
        <v>44</v>
      </c>
      <c r="E43" s="4" t="s">
        <v>63</v>
      </c>
      <c r="F43" s="17">
        <f t="shared" si="1"/>
        <v>0.03708568338</v>
      </c>
      <c r="G43" s="4">
        <v>0.00279358531172397</v>
      </c>
      <c r="H43" s="18" t="s">
        <v>56</v>
      </c>
    </row>
    <row r="44">
      <c r="A44" s="19" t="s">
        <v>64</v>
      </c>
      <c r="B44" s="2"/>
      <c r="C44" s="4">
        <v>0.248</v>
      </c>
      <c r="D44" s="4" t="s">
        <v>44</v>
      </c>
      <c r="E44" s="4" t="s">
        <v>65</v>
      </c>
      <c r="F44" s="17">
        <f t="shared" si="1"/>
        <v>0.1916093641</v>
      </c>
      <c r="G44" s="4">
        <v>0.0332840451827167</v>
      </c>
      <c r="H44" s="18" t="s">
        <v>56</v>
      </c>
    </row>
    <row r="45">
      <c r="B45" s="2"/>
    </row>
    <row r="46">
      <c r="B46" s="2"/>
    </row>
    <row r="47">
      <c r="B47" s="2"/>
      <c r="G47" s="3"/>
    </row>
    <row r="48">
      <c r="A48" s="9" t="s">
        <v>66</v>
      </c>
      <c r="B48" s="2"/>
    </row>
    <row r="49">
      <c r="A49" s="20" t="s">
        <v>35</v>
      </c>
      <c r="B49" s="21" t="s">
        <v>36</v>
      </c>
      <c r="C49" s="20" t="s">
        <v>37</v>
      </c>
      <c r="D49" s="20" t="s">
        <v>38</v>
      </c>
      <c r="E49" s="20" t="s">
        <v>39</v>
      </c>
      <c r="F49" s="22" t="s">
        <v>40</v>
      </c>
      <c r="G49" s="22" t="s">
        <v>41</v>
      </c>
      <c r="H49" s="22" t="s">
        <v>42</v>
      </c>
    </row>
    <row r="50">
      <c r="A50" s="23" t="str">
        <f t="shared" ref="A50:A56" si="2">B50</f>
        <v>tap water production, underground water with disinfection</v>
      </c>
      <c r="B50" s="16" t="s">
        <v>67</v>
      </c>
      <c r="D50" s="4" t="s">
        <v>68</v>
      </c>
      <c r="F50" s="17">
        <f t="shared" ref="F50:F56" si="3">1/7</f>
        <v>0.1428571429</v>
      </c>
      <c r="G50" s="4">
        <v>1.36390779948015E-4</v>
      </c>
      <c r="H50" s="18" t="s">
        <v>49</v>
      </c>
    </row>
    <row r="51">
      <c r="A51" s="23" t="str">
        <f t="shared" si="2"/>
        <v>tap water production, underground water with chemical treatment</v>
      </c>
      <c r="B51" s="16" t="s">
        <v>69</v>
      </c>
      <c r="D51" s="4" t="s">
        <v>68</v>
      </c>
      <c r="F51" s="17">
        <f t="shared" si="3"/>
        <v>0.1428571429</v>
      </c>
      <c r="G51" s="4">
        <v>2.97428660031339E-4</v>
      </c>
      <c r="H51" s="18" t="s">
        <v>49</v>
      </c>
    </row>
    <row r="52">
      <c r="A52" s="23" t="str">
        <f t="shared" si="2"/>
        <v>tap water production, underground water without treatment</v>
      </c>
      <c r="B52" s="16" t="s">
        <v>70</v>
      </c>
      <c r="D52" s="4" t="s">
        <v>68</v>
      </c>
      <c r="F52" s="17">
        <f t="shared" si="3"/>
        <v>0.1428571429</v>
      </c>
      <c r="G52" s="4">
        <v>1.41292580076221E-5</v>
      </c>
      <c r="H52" s="18" t="s">
        <v>56</v>
      </c>
    </row>
    <row r="53">
      <c r="A53" s="23" t="str">
        <f t="shared" si="2"/>
        <v>tap water production, conventional treatment</v>
      </c>
      <c r="B53" s="16" t="s">
        <v>71</v>
      </c>
      <c r="D53" s="4" t="s">
        <v>68</v>
      </c>
      <c r="F53" s="17">
        <f t="shared" si="3"/>
        <v>0.1428571429</v>
      </c>
      <c r="G53" s="4">
        <v>2.18099125980671E-4</v>
      </c>
      <c r="H53" s="18" t="s">
        <v>49</v>
      </c>
    </row>
    <row r="54">
      <c r="A54" s="23" t="str">
        <f t="shared" si="2"/>
        <v>tap water production, microstrainer treatment</v>
      </c>
      <c r="B54" s="16" t="s">
        <v>72</v>
      </c>
      <c r="D54" s="4" t="s">
        <v>68</v>
      </c>
      <c r="F54" s="17">
        <f t="shared" si="3"/>
        <v>0.1428571429</v>
      </c>
      <c r="G54" s="4">
        <v>3.76120802567789E-4</v>
      </c>
      <c r="H54" s="18" t="s">
        <v>73</v>
      </c>
    </row>
    <row r="55">
      <c r="A55" s="23" t="str">
        <f t="shared" si="2"/>
        <v>tap water production, conventional with biological treatment</v>
      </c>
      <c r="B55" s="16" t="s">
        <v>74</v>
      </c>
      <c r="D55" s="4" t="s">
        <v>68</v>
      </c>
      <c r="F55" s="17">
        <f t="shared" si="3"/>
        <v>0.1428571429</v>
      </c>
      <c r="G55" s="4">
        <v>2.879962929771E-4</v>
      </c>
      <c r="H55" s="18" t="s">
        <v>49</v>
      </c>
    </row>
    <row r="56">
      <c r="A56" s="23" t="str">
        <f t="shared" si="2"/>
        <v>tap water production, seawater reverse osmosis, conventional pretreatment, baseline module, single stage</v>
      </c>
      <c r="B56" s="16" t="s">
        <v>75</v>
      </c>
      <c r="D56" s="4" t="s">
        <v>68</v>
      </c>
      <c r="F56" s="17">
        <f t="shared" si="3"/>
        <v>0.1428571429</v>
      </c>
      <c r="G56" s="4">
        <v>0.00576964485920042</v>
      </c>
      <c r="H56" s="18" t="s">
        <v>76</v>
      </c>
    </row>
    <row r="57">
      <c r="B57" s="2"/>
      <c r="H57" s="2"/>
    </row>
    <row r="58">
      <c r="B58" s="2"/>
      <c r="H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</sheetData>
  <hyperlinks>
    <hyperlink r:id="rId1" ref="B38"/>
    <hyperlink r:id="rId2" ref="B39"/>
    <hyperlink r:id="rId3" ref="B40"/>
    <hyperlink r:id="rId4" ref="B41"/>
    <hyperlink r:id="rId5" ref="B42"/>
    <hyperlink r:id="rId6" ref="B43"/>
    <hyperlink r:id="rId7" ref="A44"/>
    <hyperlink r:id="rId8" ref="B50"/>
    <hyperlink r:id="rId9" ref="B51"/>
    <hyperlink r:id="rId10" ref="B52"/>
    <hyperlink r:id="rId11" ref="B53"/>
    <hyperlink r:id="rId12" ref="B54"/>
    <hyperlink r:id="rId13" ref="B55"/>
    <hyperlink r:id="rId14" ref="B56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51.88"/>
  </cols>
  <sheetData>
    <row r="1">
      <c r="A1" s="4" t="s">
        <v>77</v>
      </c>
    </row>
    <row r="2">
      <c r="B2" s="24" t="s">
        <v>78</v>
      </c>
      <c r="C2" s="24" t="s">
        <v>79</v>
      </c>
      <c r="D2" s="24" t="s">
        <v>78</v>
      </c>
      <c r="E2" s="24" t="s">
        <v>78</v>
      </c>
      <c r="F2" s="24" t="s">
        <v>79</v>
      </c>
      <c r="G2" s="24" t="s">
        <v>79</v>
      </c>
    </row>
    <row r="3">
      <c r="B3" s="25" t="s">
        <v>80</v>
      </c>
      <c r="C3" s="25" t="s">
        <v>81</v>
      </c>
      <c r="F3" s="4" t="s">
        <v>82</v>
      </c>
      <c r="G3" s="25" t="s">
        <v>83</v>
      </c>
    </row>
    <row r="4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</row>
    <row r="5">
      <c r="A5" s="26">
        <v>1.0</v>
      </c>
      <c r="B5" s="4">
        <v>12.5</v>
      </c>
      <c r="C5" s="27">
        <f>B5*2.5*4.546</f>
        <v>142.0625</v>
      </c>
      <c r="D5" s="28" t="s">
        <v>74</v>
      </c>
      <c r="E5" s="4" t="s">
        <v>50</v>
      </c>
      <c r="F5" s="27">
        <f>C5*'instructions+data'!B28</f>
        <v>20.457</v>
      </c>
      <c r="G5" s="27">
        <f>C5*'instructions+data'!G55+F5*'instructions+data'!G39</f>
        <v>2.175628684</v>
      </c>
    </row>
    <row r="6">
      <c r="A6" s="26">
        <v>2.0</v>
      </c>
      <c r="B6" s="4" t="s">
        <v>91</v>
      </c>
      <c r="C6" s="4" t="s">
        <v>91</v>
      </c>
      <c r="D6" s="4" t="s">
        <v>91</v>
      </c>
      <c r="E6" s="4" t="s">
        <v>91</v>
      </c>
      <c r="F6" s="4" t="s">
        <v>91</v>
      </c>
      <c r="G6" s="4" t="s">
        <v>91</v>
      </c>
    </row>
    <row r="7">
      <c r="A7" s="26">
        <v>3.0</v>
      </c>
      <c r="B7" s="4" t="s">
        <v>91</v>
      </c>
      <c r="C7" s="4" t="s">
        <v>91</v>
      </c>
      <c r="D7" s="4" t="s">
        <v>91</v>
      </c>
      <c r="E7" s="4" t="s">
        <v>91</v>
      </c>
      <c r="F7" s="4" t="s">
        <v>91</v>
      </c>
      <c r="G7" s="4" t="s">
        <v>91</v>
      </c>
    </row>
    <row r="8">
      <c r="A8" s="26">
        <v>4.0</v>
      </c>
      <c r="B8" s="4" t="s">
        <v>91</v>
      </c>
      <c r="C8" s="4" t="s">
        <v>91</v>
      </c>
      <c r="D8" s="4" t="s">
        <v>91</v>
      </c>
      <c r="E8" s="4" t="s">
        <v>91</v>
      </c>
      <c r="F8" s="4" t="s">
        <v>91</v>
      </c>
      <c r="G8" s="4" t="s">
        <v>91</v>
      </c>
    </row>
    <row r="9">
      <c r="A9" s="26">
        <v>5.0</v>
      </c>
      <c r="B9" s="4" t="s">
        <v>91</v>
      </c>
      <c r="C9" s="4" t="s">
        <v>91</v>
      </c>
      <c r="D9" s="4" t="s">
        <v>91</v>
      </c>
      <c r="E9" s="4" t="s">
        <v>91</v>
      </c>
      <c r="F9" s="4" t="s">
        <v>91</v>
      </c>
      <c r="G9" s="4" t="s">
        <v>91</v>
      </c>
    </row>
    <row r="10">
      <c r="A10" s="26">
        <v>6.0</v>
      </c>
      <c r="B10" s="4" t="s">
        <v>91</v>
      </c>
      <c r="C10" s="4" t="s">
        <v>91</v>
      </c>
      <c r="D10" s="4" t="s">
        <v>91</v>
      </c>
      <c r="E10" s="4" t="s">
        <v>91</v>
      </c>
      <c r="F10" s="4" t="s">
        <v>91</v>
      </c>
      <c r="G10" s="4" t="s">
        <v>91</v>
      </c>
    </row>
    <row r="11">
      <c r="A11" s="26" t="s">
        <v>91</v>
      </c>
    </row>
    <row r="12">
      <c r="A12" s="26">
        <v>1000.0</v>
      </c>
      <c r="B12" s="4" t="s">
        <v>91</v>
      </c>
      <c r="C12" s="4" t="s">
        <v>91</v>
      </c>
      <c r="D12" s="4" t="s">
        <v>91</v>
      </c>
      <c r="E12" s="4" t="s">
        <v>91</v>
      </c>
      <c r="F12" s="4" t="s">
        <v>91</v>
      </c>
      <c r="G12" s="4" t="s">
        <v>91</v>
      </c>
    </row>
  </sheetData>
  <drawing r:id="rId1"/>
</worksheet>
</file>